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146179\OneDrive - ZF Friedrichshafen AG\Desktop\"/>
    </mc:Choice>
  </mc:AlternateContent>
  <xr:revisionPtr revIDLastSave="0" documentId="13_ncr:1_{A203459A-9C12-4336-B56A-BCBC728EC36C}" xr6:coauthVersionLast="47" xr6:coauthVersionMax="47" xr10:uidLastSave="{00000000-0000-0000-0000-000000000000}"/>
  <bookViews>
    <workbookView xWindow="-120" yWindow="-120" windowWidth="29040" windowHeight="15720" activeTab="1" xr2:uid="{1D92B3B9-97F3-48B6-9570-609078453EA9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22" i="2" s="1" a="1"/>
  <c r="F22" i="2" s="1"/>
  <c r="P27" i="1"/>
  <c r="E23" i="2"/>
  <c r="P20" i="1" s="1"/>
  <c r="E22" i="2"/>
  <c r="O22" i="1"/>
  <c r="O23" i="1"/>
  <c r="O21" i="1"/>
  <c r="F15" i="2"/>
  <c r="F14" i="2"/>
  <c r="F13" i="2"/>
  <c r="F12" i="2"/>
  <c r="F11" i="2"/>
  <c r="K22" i="1"/>
  <c r="K21" i="1"/>
  <c r="K20" i="1"/>
  <c r="K19" i="1"/>
  <c r="K18" i="1"/>
  <c r="K17" i="1"/>
  <c r="K16" i="1"/>
  <c r="K10" i="1"/>
  <c r="K9" i="1"/>
  <c r="K8" i="1"/>
  <c r="K7" i="1"/>
  <c r="K6" i="1"/>
  <c r="K5" i="1"/>
  <c r="K4" i="1"/>
  <c r="F31" i="1"/>
  <c r="F30" i="1"/>
  <c r="F29" i="1"/>
  <c r="F28" i="1"/>
  <c r="F27" i="1"/>
  <c r="F26" i="1"/>
  <c r="F25" i="1"/>
  <c r="F22" i="1"/>
  <c r="F21" i="1"/>
  <c r="F20" i="1"/>
  <c r="F19" i="1"/>
  <c r="F18" i="1"/>
  <c r="F17" i="1"/>
  <c r="F16" i="1"/>
  <c r="F10" i="1"/>
  <c r="F9" i="1"/>
  <c r="F8" i="1"/>
  <c r="F7" i="1"/>
  <c r="F6" i="1"/>
  <c r="F5" i="1"/>
  <c r="F4" i="1"/>
  <c r="I29" i="1"/>
  <c r="J29" i="1" s="1"/>
  <c r="I28" i="1"/>
  <c r="J28" i="1" s="1"/>
  <c r="I27" i="1"/>
  <c r="J27" i="1" s="1"/>
  <c r="I26" i="1"/>
  <c r="J26" i="1" s="1"/>
  <c r="I25" i="1"/>
  <c r="F18" i="2" l="1" a="1"/>
  <c r="F18" i="2" s="1"/>
  <c r="F21" i="2"/>
  <c r="E21" i="2" s="1"/>
  <c r="M20" i="1"/>
  <c r="O20" i="1"/>
  <c r="N20" i="1"/>
  <c r="J25" i="1"/>
  <c r="I30" i="1"/>
  <c r="J30" i="1" s="1"/>
  <c r="Q22" i="1" l="1"/>
  <c r="Q23" i="1"/>
  <c r="Q21" i="1"/>
  <c r="F24" i="2" l="1"/>
  <c r="E2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<sst xmlns="http://schemas.openxmlformats.org/spreadsheetml/2006/main" count="134" uniqueCount="63">
  <si>
    <t>Description</t>
  </si>
  <si>
    <t>No Fatigue</t>
  </si>
  <si>
    <t>Minimal fatigue</t>
  </si>
  <si>
    <t>Better then normal</t>
  </si>
  <si>
    <t>Very fatigued</t>
  </si>
  <si>
    <t>Exhausted</t>
  </si>
  <si>
    <t>Check</t>
  </si>
  <si>
    <t xml:space="preserve">Mark an x on the 'Check' column right to the description, that matches your feeling to the question </t>
  </si>
  <si>
    <t>Question 1</t>
  </si>
  <si>
    <t>Question 2</t>
  </si>
  <si>
    <t>Question 3</t>
  </si>
  <si>
    <t>Question 4</t>
  </si>
  <si>
    <t>Question 5</t>
  </si>
  <si>
    <t>Evaluation</t>
  </si>
  <si>
    <t>Status</t>
  </si>
  <si>
    <t>Score</t>
  </si>
  <si>
    <t>How was your sleep last night ?</t>
  </si>
  <si>
    <t>How fatigued are you ?</t>
  </si>
  <si>
    <t>How many hours did you sleep ?</t>
  </si>
  <si>
    <t>Rate your level of muscle soreness</t>
  </si>
  <si>
    <t>How are you feeling mentally ?</t>
  </si>
  <si>
    <t>Outstanding</t>
  </si>
  <si>
    <t>Very Good</t>
  </si>
  <si>
    <t>Better than normal</t>
  </si>
  <si>
    <t>Normal</t>
  </si>
  <si>
    <t>Horrible</t>
  </si>
  <si>
    <t>9-10 hours</t>
  </si>
  <si>
    <t>8-9 hours</t>
  </si>
  <si>
    <t>7-8 hours</t>
  </si>
  <si>
    <t>5-6 hours</t>
  </si>
  <si>
    <t>less than 4</t>
  </si>
  <si>
    <t>No soreness</t>
  </si>
  <si>
    <t>Very little soreness</t>
  </si>
  <si>
    <t>Worse than Normal</t>
  </si>
  <si>
    <t>Over 10 hours</t>
  </si>
  <si>
    <t>4-5 hours</t>
  </si>
  <si>
    <t>Disruptes</t>
  </si>
  <si>
    <t>Very sore</t>
  </si>
  <si>
    <t>Extremely sore</t>
  </si>
  <si>
    <t>x</t>
  </si>
  <si>
    <t>Grade</t>
  </si>
  <si>
    <t>Geeling great-very relaxed</t>
  </si>
  <si>
    <t>Feeling good-relaxed</t>
  </si>
  <si>
    <t>Bettern than normal</t>
  </si>
  <si>
    <t>Stressed</t>
  </si>
  <si>
    <t>Very Stressed</t>
  </si>
  <si>
    <t>Questions</t>
  </si>
  <si>
    <t>Answers</t>
  </si>
  <si>
    <t>Male</t>
  </si>
  <si>
    <t>Female</t>
  </si>
  <si>
    <t>Current HRV</t>
  </si>
  <si>
    <t>Points</t>
  </si>
  <si>
    <t>Are you Male/Female ?</t>
  </si>
  <si>
    <t>Subjective Readiness</t>
  </si>
  <si>
    <t>HRV Readiness</t>
  </si>
  <si>
    <t>Total Readines</t>
  </si>
  <si>
    <t>Todo: Question Women</t>
  </si>
  <si>
    <t>Yes</t>
  </si>
  <si>
    <t>No</t>
  </si>
  <si>
    <t>Doy you have your HRV Data ?</t>
  </si>
  <si>
    <t>Hormonal Readiness</t>
  </si>
  <si>
    <t>Monthly Average HRV</t>
  </si>
  <si>
    <t>Valid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</si>
</sst>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</font>
    <font>
      <b/>
      <sz val="11"/>
      <color theme="1"/>
      <name val="Tahoma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1" xfId="0" applyFill="1" applyBorder="1"/>
    <xf numFmtId="0" fontId="0" fillId="0" borderId="1" xfId="0" applyFill="1" applyBorder="1"/>
    <xf numFmtId="0" fontId="1" fillId="4" borderId="1" xfId="0" applyFont="1" applyFill="1" applyBorder="1"/>
    <xf numFmtId="0" fontId="0" fillId="5" borderId="0" xfId="0" applyFill="1" applyAlignment="1">
      <alignment wrapText="1"/>
    </xf>
    <xf numFmtId="49" fontId="0" fillId="3" borderId="1" xfId="0" applyNumberFormat="1" applyFill="1" applyBorder="1"/>
    <xf numFmtId="0" fontId="1" fillId="4" borderId="0" xfId="0" applyFont="1" applyFill="1"/>
    <xf numFmtId="0" fontId="0" fillId="6" borderId="1" xfId="0" applyFill="1" applyBorder="1"/>
    <xf numFmtId="0" fontId="0" fillId="7" borderId="0" xfId="0" applyFill="1"/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8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9" borderId="0" xfId="0" applyFill="1"/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7866-5F6D-41B0-B0B5-8F8F428D6677}">
  <dimension ref="B1:AA40"/>
  <sheetViews>
    <sheetView topLeftCell="I1" workbookViewId="0">
      <selection activeCell="U20" sqref="U20"/>
    </sheetView>
  </sheetViews>
  <sheetFormatPr baseColWidth="10" defaultRowHeight="14.25" x14ac:dyDescent="0.2"/>
  <cols>
    <col min="2" max="2" width="34" customWidth="1"/>
    <col min="3" max="3" width="26.875" bestFit="1" customWidth="1"/>
    <col min="4" max="4" width="22.5" bestFit="1" customWidth="1"/>
    <col min="5" max="5" width="13.875" customWidth="1"/>
    <col min="6" max="6" width="11" hidden="1" customWidth="1"/>
    <col min="8" max="8" width="29.75" bestFit="1" customWidth="1"/>
    <col min="9" max="9" width="18.375" bestFit="1" customWidth="1"/>
    <col min="11" max="11" width="16.875" hidden="1" customWidth="1"/>
    <col min="12" max="12" width="13.5" customWidth="1"/>
    <col min="13" max="13" width="16.875" bestFit="1" customWidth="1"/>
    <col min="14" max="14" width="12.625" bestFit="1" customWidth="1"/>
    <col min="16" max="16" width="22.5" bestFit="1" customWidth="1"/>
  </cols>
  <sheetData>
    <row r="1" spans="2:27" s="1" customFormat="1" ht="42.75" x14ac:dyDescent="0.2">
      <c r="B1" s="6" t="s">
        <v>7</v>
      </c>
    </row>
    <row r="2" spans="2:27" s="1" customFormat="1" x14ac:dyDescent="0.2"/>
    <row r="3" spans="2:27" s="1" customFormat="1" x14ac:dyDescent="0.2">
      <c r="C3" s="5" t="s">
        <v>8</v>
      </c>
      <c r="D3" s="5" t="s">
        <v>0</v>
      </c>
      <c r="E3" s="5" t="s">
        <v>6</v>
      </c>
      <c r="F3" s="5" t="s">
        <v>40</v>
      </c>
      <c r="H3" s="5" t="s">
        <v>9</v>
      </c>
      <c r="I3" s="5" t="s">
        <v>0</v>
      </c>
      <c r="J3" s="5" t="s">
        <v>6</v>
      </c>
      <c r="K3" s="5" t="s">
        <v>40</v>
      </c>
      <c r="M3" s="1" t="s">
        <v>1</v>
      </c>
      <c r="N3" s="1" t="s">
        <v>34</v>
      </c>
      <c r="O3" s="1" t="s">
        <v>21</v>
      </c>
      <c r="P3" s="1" t="s">
        <v>31</v>
      </c>
      <c r="Q3" s="1" t="s">
        <v>41</v>
      </c>
      <c r="R3" s="1">
        <v>1.5</v>
      </c>
      <c r="AA3" s="1">
        <v>1.5</v>
      </c>
    </row>
    <row r="4" spans="2:27" s="1" customFormat="1" ht="14.25" customHeight="1" x14ac:dyDescent="0.2">
      <c r="C4" s="20" t="s">
        <v>17</v>
      </c>
      <c r="D4" s="3" t="s">
        <v>1</v>
      </c>
      <c r="E4" s="4"/>
      <c r="F4" s="9">
        <f>IF(E4&lt;&gt;"",$AA$3,0)</f>
        <v>0</v>
      </c>
      <c r="H4" s="20" t="s">
        <v>18</v>
      </c>
      <c r="I4" s="7" t="s">
        <v>34</v>
      </c>
      <c r="J4" s="4"/>
      <c r="K4" s="9">
        <f>IF(J4&lt;&gt;"",$AA$3,0)</f>
        <v>0</v>
      </c>
      <c r="M4" s="1" t="s">
        <v>2</v>
      </c>
      <c r="N4" s="1" t="s">
        <v>26</v>
      </c>
      <c r="O4" s="1" t="s">
        <v>22</v>
      </c>
      <c r="P4" s="1" t="s">
        <v>32</v>
      </c>
      <c r="Q4" s="1" t="s">
        <v>42</v>
      </c>
      <c r="R4" s="1">
        <v>2</v>
      </c>
      <c r="AA4" s="1">
        <v>2</v>
      </c>
    </row>
    <row r="5" spans="2:27" s="1" customFormat="1" x14ac:dyDescent="0.2">
      <c r="C5" s="21"/>
      <c r="D5" s="3" t="s">
        <v>2</v>
      </c>
      <c r="E5" s="4"/>
      <c r="F5" s="9">
        <f>IF(E5&lt;&gt;"",$AA$4,0)</f>
        <v>0</v>
      </c>
      <c r="H5" s="21"/>
      <c r="I5" s="7" t="s">
        <v>26</v>
      </c>
      <c r="J5" s="4"/>
      <c r="K5" s="9">
        <f>IF(J5&lt;&gt;"",$AA$4,0)</f>
        <v>0</v>
      </c>
      <c r="M5" s="1" t="s">
        <v>3</v>
      </c>
      <c r="N5" s="1" t="s">
        <v>27</v>
      </c>
      <c r="O5" s="1" t="s">
        <v>23</v>
      </c>
      <c r="P5" s="1" t="s">
        <v>3</v>
      </c>
      <c r="Q5" s="1" t="s">
        <v>43</v>
      </c>
      <c r="R5" s="1">
        <v>3</v>
      </c>
      <c r="AA5" s="1">
        <v>3</v>
      </c>
    </row>
    <row r="6" spans="2:27" s="1" customFormat="1" x14ac:dyDescent="0.2">
      <c r="C6" s="21"/>
      <c r="D6" s="3" t="s">
        <v>3</v>
      </c>
      <c r="E6" s="4"/>
      <c r="F6" s="9">
        <f>IF(E6&lt;&gt;"",$AA$5,0)</f>
        <v>0</v>
      </c>
      <c r="H6" s="21"/>
      <c r="I6" s="7" t="s">
        <v>27</v>
      </c>
      <c r="J6" s="4"/>
      <c r="K6" s="9">
        <f>IF(J6&lt;&gt;"",$AA$5,0)</f>
        <v>0</v>
      </c>
      <c r="M6" s="1" t="s">
        <v>24</v>
      </c>
      <c r="N6" s="1" t="s">
        <v>28</v>
      </c>
      <c r="O6" s="1" t="s">
        <v>24</v>
      </c>
      <c r="P6" s="1" t="s">
        <v>24</v>
      </c>
      <c r="Q6" s="1" t="s">
        <v>24</v>
      </c>
      <c r="R6" s="1">
        <v>4</v>
      </c>
      <c r="AA6" s="1">
        <v>4</v>
      </c>
    </row>
    <row r="7" spans="2:27" s="1" customFormat="1" x14ac:dyDescent="0.2">
      <c r="C7" s="21"/>
      <c r="D7" s="3" t="s">
        <v>24</v>
      </c>
      <c r="E7" s="4"/>
      <c r="F7" s="9">
        <f>IF(E7&lt;&gt;"",$AA$6,0)</f>
        <v>0</v>
      </c>
      <c r="H7" s="21"/>
      <c r="I7" s="7" t="s">
        <v>28</v>
      </c>
      <c r="J7" s="4" t="s">
        <v>39</v>
      </c>
      <c r="K7" s="9">
        <f>IF(J7&lt;&gt;"",$AA$6,0)</f>
        <v>4</v>
      </c>
      <c r="M7" s="1" t="s">
        <v>33</v>
      </c>
      <c r="N7" s="1" t="s">
        <v>29</v>
      </c>
      <c r="O7" s="1" t="s">
        <v>33</v>
      </c>
      <c r="P7" s="1" t="s">
        <v>33</v>
      </c>
      <c r="Q7" s="1" t="s">
        <v>33</v>
      </c>
      <c r="R7" s="1">
        <v>5</v>
      </c>
      <c r="AA7" s="1">
        <v>5</v>
      </c>
    </row>
    <row r="8" spans="2:27" s="1" customFormat="1" x14ac:dyDescent="0.2">
      <c r="C8" s="21"/>
      <c r="D8" s="3" t="s">
        <v>33</v>
      </c>
      <c r="E8" s="4" t="s">
        <v>39</v>
      </c>
      <c r="F8" s="9">
        <f>IF(E8&lt;&gt;"",$AA$7,0)</f>
        <v>5</v>
      </c>
      <c r="H8" s="21"/>
      <c r="I8" s="7" t="s">
        <v>29</v>
      </c>
      <c r="J8" s="4"/>
      <c r="K8" s="9">
        <f>IF(J8&lt;&gt;"",$AA$7,0)</f>
        <v>0</v>
      </c>
      <c r="M8" s="1" t="s">
        <v>4</v>
      </c>
      <c r="N8" s="1" t="s">
        <v>35</v>
      </c>
      <c r="O8" s="1" t="s">
        <v>36</v>
      </c>
      <c r="P8" s="1" t="s">
        <v>37</v>
      </c>
      <c r="Q8" s="1" t="s">
        <v>44</v>
      </c>
      <c r="R8" s="1">
        <v>6</v>
      </c>
      <c r="AA8" s="1">
        <v>6</v>
      </c>
    </row>
    <row r="9" spans="2:27" s="1" customFormat="1" x14ac:dyDescent="0.2">
      <c r="C9" s="21"/>
      <c r="D9" s="3" t="s">
        <v>4</v>
      </c>
      <c r="E9" s="4"/>
      <c r="F9" s="9">
        <f>IF(E9&lt;&gt;"",$AA$8,0)</f>
        <v>0</v>
      </c>
      <c r="H9" s="21"/>
      <c r="I9" s="7" t="s">
        <v>35</v>
      </c>
      <c r="J9" s="4"/>
      <c r="K9" s="9">
        <f>IF(J9&lt;&gt;"",$AA$8,0)</f>
        <v>0</v>
      </c>
      <c r="M9" s="1" t="s">
        <v>5</v>
      </c>
      <c r="N9" s="1" t="s">
        <v>30</v>
      </c>
      <c r="O9" s="1" t="s">
        <v>25</v>
      </c>
      <c r="P9" s="1" t="s">
        <v>38</v>
      </c>
      <c r="Q9" s="1" t="s">
        <v>45</v>
      </c>
      <c r="R9" s="1">
        <v>10</v>
      </c>
      <c r="AA9" s="1">
        <v>10</v>
      </c>
    </row>
    <row r="10" spans="2:27" s="1" customFormat="1" x14ac:dyDescent="0.2">
      <c r="C10" s="22"/>
      <c r="D10" s="3" t="s">
        <v>5</v>
      </c>
      <c r="E10" s="4"/>
      <c r="F10" s="9">
        <f>IF(E10&lt;&gt;"",$AA$9,0)</f>
        <v>0</v>
      </c>
      <c r="H10" s="22"/>
      <c r="I10" s="7" t="s">
        <v>30</v>
      </c>
      <c r="J10" s="4"/>
      <c r="K10" s="9">
        <f>IF(J10&lt;&gt;"",$AA$9,0)</f>
        <v>0</v>
      </c>
    </row>
    <row r="11" spans="2:27" s="1" customFormat="1" x14ac:dyDescent="0.2"/>
    <row r="12" spans="2:27" s="1" customFormat="1" x14ac:dyDescent="0.2"/>
    <row r="13" spans="2:27" s="1" customFormat="1" x14ac:dyDescent="0.2">
      <c r="M13" s="1" t="s">
        <v>48</v>
      </c>
      <c r="N13" s="1" t="s">
        <v>57</v>
      </c>
    </row>
    <row r="14" spans="2:27" s="1" customFormat="1" x14ac:dyDescent="0.2">
      <c r="M14" s="1" t="s">
        <v>49</v>
      </c>
      <c r="N14" s="1" t="s">
        <v>58</v>
      </c>
    </row>
    <row r="15" spans="2:27" s="1" customFormat="1" x14ac:dyDescent="0.2">
      <c r="C15" s="5" t="s">
        <v>10</v>
      </c>
      <c r="D15" s="5" t="s">
        <v>0</v>
      </c>
      <c r="E15" s="5" t="s">
        <v>6</v>
      </c>
      <c r="F15" s="5" t="s">
        <v>40</v>
      </c>
      <c r="H15" s="5" t="s">
        <v>11</v>
      </c>
      <c r="I15" s="5" t="s">
        <v>0</v>
      </c>
      <c r="J15" s="5" t="s">
        <v>6</v>
      </c>
      <c r="K15" s="5" t="s">
        <v>40</v>
      </c>
    </row>
    <row r="16" spans="2:27" s="1" customFormat="1" ht="14.25" customHeight="1" x14ac:dyDescent="0.2">
      <c r="C16" s="18" t="s">
        <v>16</v>
      </c>
      <c r="D16" s="3" t="s">
        <v>21</v>
      </c>
      <c r="E16" s="4"/>
      <c r="F16" s="9">
        <f>IF(E16&lt;&gt;"",$AA$3,0)</f>
        <v>0</v>
      </c>
      <c r="H16" s="20" t="s">
        <v>19</v>
      </c>
      <c r="I16" s="3" t="s">
        <v>31</v>
      </c>
      <c r="J16" s="4"/>
      <c r="K16" s="9">
        <f>IF(J16&lt;&gt;"",$AA$3,0)</f>
        <v>0</v>
      </c>
    </row>
    <row r="17" spans="3:21" s="1" customFormat="1" x14ac:dyDescent="0.2">
      <c r="C17" s="19"/>
      <c r="D17" s="3" t="s">
        <v>22</v>
      </c>
      <c r="E17" s="4" t="s">
        <v>39</v>
      </c>
      <c r="F17" s="9">
        <f>IF(E17&lt;&gt;"",$AA$4,0)</f>
        <v>2</v>
      </c>
      <c r="H17" s="21"/>
      <c r="I17" s="3" t="s">
        <v>32</v>
      </c>
      <c r="J17" s="4"/>
      <c r="K17" s="9">
        <f>IF(J17&lt;&gt;"",$AA$4,0)</f>
        <v>0</v>
      </c>
    </row>
    <row r="18" spans="3:21" s="1" customFormat="1" x14ac:dyDescent="0.2">
      <c r="C18" s="19"/>
      <c r="D18" s="3" t="s">
        <v>23</v>
      </c>
      <c r="E18" s="4"/>
      <c r="F18" s="9">
        <f>IF(E18&lt;&gt;"",$AA$5,0)</f>
        <v>0</v>
      </c>
      <c r="H18" s="21"/>
      <c r="I18" s="3" t="s">
        <v>3</v>
      </c>
      <c r="J18" s="4"/>
      <c r="K18" s="9">
        <f>IF(J18&lt;&gt;"",$AA$5,0)</f>
        <v>0</v>
      </c>
    </row>
    <row r="19" spans="3:21" s="1" customFormat="1" x14ac:dyDescent="0.2">
      <c r="C19" s="19"/>
      <c r="D19" s="3" t="s">
        <v>24</v>
      </c>
      <c r="E19" s="4"/>
      <c r="F19" s="9">
        <f>IF(E19&lt;&gt;"",$AA$6,0)</f>
        <v>0</v>
      </c>
      <c r="H19" s="21"/>
      <c r="I19" s="3" t="s">
        <v>24</v>
      </c>
      <c r="J19" s="4"/>
      <c r="K19" s="9">
        <f>IF(J19&lt;&gt;"",$AA$6,0)</f>
        <v>0</v>
      </c>
      <c r="T19" s="1">
        <v>1.7</v>
      </c>
      <c r="U19" s="1">
        <v>80</v>
      </c>
    </row>
    <row r="20" spans="3:21" s="1" customFormat="1" x14ac:dyDescent="0.2">
      <c r="C20" s="19"/>
      <c r="D20" s="3" t="s">
        <v>33</v>
      </c>
      <c r="E20" s="4"/>
      <c r="F20" s="9">
        <f>IF(E20&lt;&gt;"",$AA$7,0)</f>
        <v>0</v>
      </c>
      <c r="H20" s="21"/>
      <c r="I20" s="3" t="s">
        <v>33</v>
      </c>
      <c r="J20" s="4"/>
      <c r="K20" s="9">
        <f>IF(J20&lt;&gt;"",$AA$7,0)</f>
        <v>0</v>
      </c>
      <c r="M20" s="1" t="str">
        <f>IF(AND(Tabelle2!$E$22="Data Not Available",Tabelle2!$E$23="Data Not Available"),"Yes","No")</f>
        <v>No</v>
      </c>
      <c r="N20" s="1" t="str">
        <f>IF(AND(Tabelle2!$E$22&lt;&gt;"Data Not Available",Tabelle2!$E$23="Data Not Available"),"Yes","No")</f>
        <v>Yes</v>
      </c>
      <c r="O20" s="1" t="str">
        <f>IF(AND(Tabelle2!$E$2&lt;&gt;"Data Not Available",Tabelle2!$E$23&lt;&gt;"Data Not Available"),"Yes","No")</f>
        <v>No</v>
      </c>
      <c r="P20" s="1" t="str">
        <f>IF(AND(Tabelle2!$E$2="Data Not Available",Tabelle2!$E$23&lt;&gt;"Data Not Available"),"Yes","No")</f>
        <v>No</v>
      </c>
      <c r="Q20" s="1" t="s">
        <v>62</v>
      </c>
      <c r="T20" s="1">
        <v>1.4</v>
      </c>
      <c r="U20" s="1">
        <v>100</v>
      </c>
    </row>
    <row r="21" spans="3:21" s="1" customFormat="1" x14ac:dyDescent="0.2">
      <c r="C21" s="19"/>
      <c r="D21" s="3" t="s">
        <v>36</v>
      </c>
      <c r="E21" s="4"/>
      <c r="F21" s="9">
        <f>IF(E21&lt;&gt;"",$AA$8,0)</f>
        <v>0</v>
      </c>
      <c r="H21" s="21"/>
      <c r="I21" s="3" t="s">
        <v>37</v>
      </c>
      <c r="J21" s="4" t="s">
        <v>39</v>
      </c>
      <c r="K21" s="9">
        <f>IF(J21&lt;&gt;"",$AA$8,0)</f>
        <v>6</v>
      </c>
      <c r="M21" s="1">
        <v>1</v>
      </c>
      <c r="N21" s="1">
        <v>0.5</v>
      </c>
      <c r="O21" s="1">
        <f>1/3</f>
        <v>0.33333333333333331</v>
      </c>
      <c r="P21" s="1">
        <v>0.5</v>
      </c>
      <c r="Q21" s="1">
        <f>IF($M$20="Yes",M21,IF($N$20="Yes",N21,IF($O$20="Yes",$O$21,IF($P$20="Yes",P21,""))))</f>
        <v>0.5</v>
      </c>
      <c r="T21" s="1">
        <v>1</v>
      </c>
      <c r="U21" s="1">
        <v>100</v>
      </c>
    </row>
    <row r="22" spans="3:21" s="1" customFormat="1" x14ac:dyDescent="0.2">
      <c r="C22" s="19"/>
      <c r="D22" s="3" t="s">
        <v>25</v>
      </c>
      <c r="E22" s="4"/>
      <c r="F22" s="9">
        <f>IF(E22&lt;&gt;"",$AA$9,0)</f>
        <v>0</v>
      </c>
      <c r="H22" s="22"/>
      <c r="I22" s="3" t="s">
        <v>38</v>
      </c>
      <c r="J22" s="4"/>
      <c r="K22" s="9">
        <f>IF(J22&lt;&gt;"",$AA$9,0)</f>
        <v>0</v>
      </c>
      <c r="M22" s="1">
        <v>0</v>
      </c>
      <c r="N22" s="1">
        <v>0.5</v>
      </c>
      <c r="O22" s="1">
        <f t="shared" ref="O22:O23" si="0">1/3</f>
        <v>0.33333333333333331</v>
      </c>
      <c r="P22" s="1">
        <v>0</v>
      </c>
      <c r="Q22" s="1">
        <f t="shared" ref="Q22:Q23" si="1">IF($M$20="Yes",M22,IF($N$20="Yes",N22,IF($O$20="Yes",$O$21,IF($P$20="Yes",P22,""))))</f>
        <v>0.5</v>
      </c>
      <c r="T22" s="1">
        <v>0.9</v>
      </c>
      <c r="U22" s="1">
        <v>100</v>
      </c>
    </row>
    <row r="23" spans="3:21" s="1" customFormat="1" x14ac:dyDescent="0.2">
      <c r="M23" s="1">
        <v>0</v>
      </c>
      <c r="N23" s="1">
        <v>0</v>
      </c>
      <c r="O23" s="1">
        <f t="shared" si="0"/>
        <v>0.33333333333333331</v>
      </c>
      <c r="P23" s="1">
        <v>0.5</v>
      </c>
      <c r="Q23" s="1">
        <f t="shared" si="1"/>
        <v>0</v>
      </c>
      <c r="T23" s="1">
        <v>0.8</v>
      </c>
      <c r="U23" s="1">
        <v>85</v>
      </c>
    </row>
    <row r="24" spans="3:21" s="1" customFormat="1" x14ac:dyDescent="0.2">
      <c r="C24" s="5" t="s">
        <v>12</v>
      </c>
      <c r="D24" s="5" t="s">
        <v>0</v>
      </c>
      <c r="E24" s="5" t="s">
        <v>6</v>
      </c>
      <c r="F24" s="5" t="s">
        <v>40</v>
      </c>
      <c r="H24" s="8" t="s">
        <v>46</v>
      </c>
      <c r="I24" s="8" t="s">
        <v>14</v>
      </c>
      <c r="J24" s="8" t="s">
        <v>15</v>
      </c>
      <c r="T24" s="1">
        <v>0.6</v>
      </c>
      <c r="U24" s="1">
        <v>50</v>
      </c>
    </row>
    <row r="25" spans="3:21" s="1" customFormat="1" ht="14.25" customHeight="1" x14ac:dyDescent="0.2">
      <c r="C25" s="18" t="s">
        <v>20</v>
      </c>
      <c r="D25" s="3" t="s">
        <v>41</v>
      </c>
      <c r="E25" s="4"/>
      <c r="F25" s="9">
        <f>IF(E25&lt;&gt;"",$AA$3,0)</f>
        <v>0</v>
      </c>
      <c r="H25" s="11">
        <v>1</v>
      </c>
      <c r="I25" s="2" t="str">
        <f>IF(COUNTA($E$4:$E$10)=0,"Please mark your x",IF(COUNTA($E$4:$E$10)&gt;1,"Too many x checked","Valid"))</f>
        <v>Valid</v>
      </c>
      <c r="J25" s="2">
        <f>IF(I25="Valid",SUM(F4:F10),"")</f>
        <v>5</v>
      </c>
      <c r="T25" s="1">
        <v>0.5</v>
      </c>
      <c r="U25" s="1">
        <v>30</v>
      </c>
    </row>
    <row r="26" spans="3:21" s="1" customFormat="1" x14ac:dyDescent="0.2">
      <c r="C26" s="19"/>
      <c r="D26" s="3" t="s">
        <v>42</v>
      </c>
      <c r="E26" s="4"/>
      <c r="F26" s="9">
        <f>IF(E26&lt;&gt;"",$AA$4,0)</f>
        <v>0</v>
      </c>
      <c r="H26" s="11">
        <v>2</v>
      </c>
      <c r="I26" s="2" t="str">
        <f>IF(COUNTA($J$4:$J$10)=0,"Please mark your x",IF(COUNTA($J$4:$J$10)&gt;1,"Too many x checked","Valid"))</f>
        <v>Valid</v>
      </c>
      <c r="J26" s="2">
        <f>IF(I26="Valid",SUM(K4:K10),"")</f>
        <v>4</v>
      </c>
    </row>
    <row r="27" spans="3:21" s="1" customFormat="1" x14ac:dyDescent="0.2">
      <c r="C27" s="19"/>
      <c r="D27" s="3" t="s">
        <v>43</v>
      </c>
      <c r="E27" s="4" t="s">
        <v>39</v>
      </c>
      <c r="F27" s="9">
        <f>IF(E27&lt;&gt;"",$AA$5,0)</f>
        <v>3</v>
      </c>
      <c r="H27" s="11">
        <v>3</v>
      </c>
      <c r="I27" s="2" t="str">
        <f>IF(COUNTA($E$16:$E$22)=0,"Please mark your x",IF(COUNTA($E$16:$E$22)&gt;1,"Too many x checked","Valid"))</f>
        <v>Valid</v>
      </c>
      <c r="J27" s="2">
        <f>IF(I27="Valid",SUM(F16:F22),"")</f>
        <v>2</v>
      </c>
      <c r="P27" s="1">
        <f>_xlfn.FORECAST.LINEAR(1,U19:U25,T19:T25)</f>
        <v>78.395618556701038</v>
      </c>
    </row>
    <row r="28" spans="3:21" s="1" customFormat="1" x14ac:dyDescent="0.2">
      <c r="C28" s="19"/>
      <c r="D28" s="3" t="s">
        <v>24</v>
      </c>
      <c r="E28" s="4"/>
      <c r="F28" s="9">
        <f>IF(E28&lt;&gt;"",$AA$6,0)</f>
        <v>0</v>
      </c>
      <c r="H28" s="11">
        <v>4</v>
      </c>
      <c r="I28" s="2" t="str">
        <f>IF(COUNTA($J$16:$J$22)=0,"Please mark your x",IF(COUNTA($J$16:$J$22)&gt;1,"Too many x checked","Valid"))</f>
        <v>Valid</v>
      </c>
      <c r="J28" s="2">
        <f>IF(I28="Valid",SUM(K16:K22),"")</f>
        <v>6</v>
      </c>
    </row>
    <row r="29" spans="3:21" s="1" customFormat="1" x14ac:dyDescent="0.2">
      <c r="C29" s="19"/>
      <c r="D29" s="3" t="s">
        <v>33</v>
      </c>
      <c r="E29" s="4"/>
      <c r="F29" s="9">
        <f>IF(E29&lt;&gt;"",$AA$7,0)</f>
        <v>0</v>
      </c>
      <c r="H29" s="11">
        <v>5</v>
      </c>
      <c r="I29" s="2" t="str">
        <f>IF(COUNTA($E$25:$E$31)=0,"Please mark your x",IF(COUNTA($E$25:$E$31)&gt;1,"Too many x checked","Valid"))</f>
        <v>Valid</v>
      </c>
      <c r="J29" s="2">
        <f>IF(I29="Valid",SUM(F25:F31),"")</f>
        <v>3</v>
      </c>
    </row>
    <row r="30" spans="3:21" s="1" customFormat="1" x14ac:dyDescent="0.2">
      <c r="C30" s="19"/>
      <c r="D30" s="3" t="s">
        <v>44</v>
      </c>
      <c r="E30" s="4"/>
      <c r="F30" s="9">
        <f>IF(E30&lt;&gt;"",$AA$8,0)</f>
        <v>0</v>
      </c>
      <c r="H30" s="11" t="s">
        <v>13</v>
      </c>
      <c r="I30" s="10" t="str">
        <f>IF(AND(I25="Valid",I26="Valid",I27="Valid",I28="Valid",I29="Valid"),"Results ready","Result not Ready")</f>
        <v>Results ready</v>
      </c>
      <c r="J30" s="10" t="str">
        <f>IF(I30="Results ready",TEXT(MIN(100,100*5*4/SUM(J25:J29)),0)&amp;"%","")</f>
        <v>100%</v>
      </c>
    </row>
    <row r="31" spans="3:21" s="1" customFormat="1" x14ac:dyDescent="0.2">
      <c r="C31" s="19"/>
      <c r="D31" s="3" t="s">
        <v>45</v>
      </c>
      <c r="E31" s="4"/>
      <c r="F31" s="9">
        <f>IF(E31&lt;&gt;"",$AA$9,0)</f>
        <v>0</v>
      </c>
    </row>
    <row r="32" spans="3:21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5">
    <mergeCell ref="C16:C22"/>
    <mergeCell ref="C25:C31"/>
    <mergeCell ref="H16:H22"/>
    <mergeCell ref="H4:H10"/>
    <mergeCell ref="C4:C10"/>
  </mergeCells>
  <phoneticPr fontId="2" type="noConversion"/>
  <conditionalFormatting sqref="I25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headerFooter>
    <oddHeader>&amp;R&amp;"Calibri"&amp;10&amp;K000000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9CF0-A6BD-4B06-BABA-7934E1FCB567}">
  <dimension ref="D1:F77"/>
  <sheetViews>
    <sheetView tabSelected="1" workbookViewId="0">
      <selection activeCell="H11" sqref="H11"/>
    </sheetView>
  </sheetViews>
  <sheetFormatPr baseColWidth="10" defaultRowHeight="14.25" x14ac:dyDescent="0.2"/>
  <cols>
    <col min="2" max="2" width="11.75" bestFit="1" customWidth="1"/>
    <col min="4" max="4" width="29.75" bestFit="1" customWidth="1"/>
    <col min="5" max="5" width="27.875" bestFit="1" customWidth="1"/>
    <col min="6" max="6" width="26.875" bestFit="1" customWidth="1"/>
    <col min="7" max="7" width="26.25" bestFit="1" customWidth="1"/>
    <col min="8" max="8" width="27.875" bestFit="1" customWidth="1"/>
  </cols>
  <sheetData>
    <row r="1" spans="4:6" s="1" customFormat="1" x14ac:dyDescent="0.2"/>
    <row r="2" spans="4:6" s="1" customFormat="1" x14ac:dyDescent="0.2"/>
    <row r="3" spans="4:6" s="1" customFormat="1" x14ac:dyDescent="0.2"/>
    <row r="4" spans="4:6" s="1" customFormat="1" x14ac:dyDescent="0.2"/>
    <row r="5" spans="4:6" s="1" customFormat="1" x14ac:dyDescent="0.2"/>
    <row r="6" spans="4:6" s="1" customFormat="1" x14ac:dyDescent="0.2"/>
    <row r="7" spans="4:6" s="1" customFormat="1" x14ac:dyDescent="0.2"/>
    <row r="8" spans="4:6" s="1" customFormat="1" x14ac:dyDescent="0.2"/>
    <row r="9" spans="4:6" s="1" customFormat="1" x14ac:dyDescent="0.2"/>
    <row r="10" spans="4:6" s="1" customFormat="1" x14ac:dyDescent="0.2">
      <c r="D10" s="12" t="s">
        <v>46</v>
      </c>
      <c r="E10" s="12" t="s">
        <v>47</v>
      </c>
      <c r="F10" s="12" t="s">
        <v>51</v>
      </c>
    </row>
    <row r="11" spans="4:6" s="1" customFormat="1" x14ac:dyDescent="0.2">
      <c r="D11" s="13" t="s">
        <v>17</v>
      </c>
      <c r="E11" s="14" t="s">
        <v>24</v>
      </c>
      <c r="F11" s="14">
        <f>VLOOKUP(E11,Tabelle1!$M$3:$R$9,6,FALSE)</f>
        <v>4</v>
      </c>
    </row>
    <row r="12" spans="4:6" s="1" customFormat="1" x14ac:dyDescent="0.2">
      <c r="D12" s="13" t="s">
        <v>18</v>
      </c>
      <c r="E12" s="14" t="s">
        <v>28</v>
      </c>
      <c r="F12" s="14">
        <f>VLOOKUP(E12,Tabelle1!$N$3:$R$9,5,FALSE)</f>
        <v>4</v>
      </c>
    </row>
    <row r="13" spans="4:6" s="1" customFormat="1" x14ac:dyDescent="0.2">
      <c r="D13" s="13" t="s">
        <v>16</v>
      </c>
      <c r="E13" s="14" t="s">
        <v>21</v>
      </c>
      <c r="F13" s="14">
        <f>VLOOKUP(E13,Tabelle1!$O$3:$R$9,4,FALSE)</f>
        <v>1.5</v>
      </c>
    </row>
    <row r="14" spans="4:6" s="1" customFormat="1" x14ac:dyDescent="0.2">
      <c r="D14" s="13" t="s">
        <v>19</v>
      </c>
      <c r="E14" s="14" t="s">
        <v>33</v>
      </c>
      <c r="F14" s="14">
        <f>VLOOKUP(E14,Tabelle1!$P$3:$R$9,3,FALSE)</f>
        <v>5</v>
      </c>
    </row>
    <row r="15" spans="4:6" s="1" customFormat="1" x14ac:dyDescent="0.2">
      <c r="D15" s="13" t="s">
        <v>20</v>
      </c>
      <c r="E15" s="14" t="s">
        <v>24</v>
      </c>
      <c r="F15" s="14">
        <f>VLOOKUP(E15,Tabelle1!$Q$3:$R$9,2,FALSE)</f>
        <v>4</v>
      </c>
    </row>
    <row r="16" spans="4:6" s="1" customFormat="1" x14ac:dyDescent="0.2">
      <c r="D16" s="13" t="s">
        <v>59</v>
      </c>
      <c r="E16" s="14" t="s">
        <v>57</v>
      </c>
      <c r="F16" s="14"/>
    </row>
    <row r="17" spans="4:6" s="1" customFormat="1" x14ac:dyDescent="0.2">
      <c r="D17" s="15" t="s">
        <v>61</v>
      </c>
      <c r="E17" s="16">
        <v>105</v>
      </c>
      <c r="F17" s="14">
        <f>E18/E17</f>
        <v>1.1047619047619048</v>
      </c>
    </row>
    <row r="18" spans="4:6" s="1" customFormat="1" x14ac:dyDescent="0.2">
      <c r="D18" s="15" t="s">
        <v>50</v>
      </c>
      <c r="E18" s="16">
        <v>116</v>
      </c>
      <c r="F18" s="14" cm="1">
        <f t="array" ref="F18">IF(F17&gt;=Tabelle1!T19,Tabelle1!U19,IF(F17&lt;=Tabelle1!T25,Tabelle1!U25,INDEX(Tabelle1!U19:U25,MATCH(MIN(ABS(Tabelle1!T19:T25-F17)),ABS(Tabelle1!T19:T25-F17),0))))</f>
        <v>100</v>
      </c>
    </row>
    <row r="19" spans="4:6" s="1" customFormat="1" x14ac:dyDescent="0.2">
      <c r="D19" s="15" t="s">
        <v>52</v>
      </c>
      <c r="E19" s="16" t="s">
        <v>48</v>
      </c>
      <c r="F19" s="14"/>
    </row>
    <row r="20" spans="4:6" s="1" customFormat="1" x14ac:dyDescent="0.2">
      <c r="D20" s="15" t="s">
        <v>56</v>
      </c>
      <c r="E20" s="16"/>
      <c r="F20" s="14"/>
    </row>
    <row r="21" spans="4:6" s="1" customFormat="1" x14ac:dyDescent="0.2">
      <c r="D21" s="10" t="s">
        <v>53</v>
      </c>
      <c r="E21" s="17" t="str">
        <f>IF(COUNTA(E11:E15)&lt;5,"Answers Pending",TEXT(F21,0)&amp;"%")</f>
        <v>100%</v>
      </c>
      <c r="F21" s="2">
        <f>100*MIN(1,4*COUNT(F11:F15)/SUM(F11:F15))</f>
        <v>100</v>
      </c>
    </row>
    <row r="22" spans="4:6" s="1" customFormat="1" x14ac:dyDescent="0.2">
      <c r="D22" s="10" t="s">
        <v>54</v>
      </c>
      <c r="E22" s="17">
        <f>IF(AND(E16="Yes",E17&lt;&gt;"",E18&lt;&gt;""),100,"Data Not Available")</f>
        <v>100</v>
      </c>
      <c r="F22" s="2" cm="1">
        <f t="array" ref="F22">IF(F17&gt;=Tabelle1!T19,Tabelle1!U19,IF(F17&lt;=Tabelle1!T25,Tabelle1!U25,INDEX(Tabelle1!U19:U25,MATCH(MIN(ABS(Tabelle1!T19:T25-F17)),ABS(Tabelle1!T19:T25-F17),0))))</f>
        <v>100</v>
      </c>
    </row>
    <row r="23" spans="4:6" s="1" customFormat="1" x14ac:dyDescent="0.2">
      <c r="D23" s="10" t="s">
        <v>60</v>
      </c>
      <c r="E23" s="17" t="str">
        <f>IF(AND(E19="Female",E20&lt;&gt;""),100,"Data Not Available")</f>
        <v>Data Not Available</v>
      </c>
      <c r="F23" s="2">
        <v>0</v>
      </c>
    </row>
    <row r="24" spans="4:6" s="1" customFormat="1" x14ac:dyDescent="0.2">
      <c r="D24" s="10" t="s">
        <v>55</v>
      </c>
      <c r="E24" s="17" t="str">
        <f>IF(E21&lt;&gt;"Data Pending",TEXT(F24,0)&amp;"%","Data Pending")</f>
        <v>100%</v>
      </c>
      <c r="F24" s="2">
        <f>F21*Tabelle1!Q21+Tabelle1!Q22*Tabelle2!F22+Tabelle2!F23*Tabelle1!Q23</f>
        <v>100</v>
      </c>
    </row>
    <row r="25" spans="4:6" s="1" customFormat="1" x14ac:dyDescent="0.2"/>
    <row r="26" spans="4:6" s="1" customFormat="1" x14ac:dyDescent="0.2"/>
    <row r="27" spans="4:6" s="1" customFormat="1" x14ac:dyDescent="0.2"/>
    <row r="28" spans="4:6" s="1" customFormat="1" x14ac:dyDescent="0.2"/>
    <row r="29" spans="4:6" s="1" customFormat="1" x14ac:dyDescent="0.2"/>
    <row r="30" spans="4:6" s="1" customFormat="1" x14ac:dyDescent="0.2"/>
    <row r="31" spans="4:6" s="1" customFormat="1" x14ac:dyDescent="0.2"/>
    <row r="32" spans="4:6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</sheetData>
  <dataValidations count="1">
    <dataValidation type="custom" allowBlank="1" showInputMessage="1" showErrorMessage="1" sqref="E20" xr:uid="{131BE108-01BB-44C6-9A15-0747254AA5A1}">
      <formula1>E19="Female"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A42CCC2-C8DA-4868-8B09-00B3B45EEE18}">
          <x14:formula1>
            <xm:f>Tabelle1!$M$3:$M$9</xm:f>
          </x14:formula1>
          <xm:sqref>E11</xm:sqref>
        </x14:dataValidation>
        <x14:dataValidation type="list" allowBlank="1" showInputMessage="1" showErrorMessage="1" xr:uid="{793B0406-8A36-4C6E-B0EE-5825F77462A0}">
          <x14:formula1>
            <xm:f>Tabelle1!$N$3:$N$9</xm:f>
          </x14:formula1>
          <xm:sqref>E12</xm:sqref>
        </x14:dataValidation>
        <x14:dataValidation type="list" allowBlank="1" showInputMessage="1" showErrorMessage="1" xr:uid="{A5073D4C-A08E-4312-B2FD-974FE24EF160}">
          <x14:formula1>
            <xm:f>Tabelle1!$P$3:$P$9</xm:f>
          </x14:formula1>
          <xm:sqref>E14</xm:sqref>
        </x14:dataValidation>
        <x14:dataValidation type="list" allowBlank="1" showInputMessage="1" showErrorMessage="1" xr:uid="{3F3DF0E3-D783-403A-BFA1-2896D20B4ACF}">
          <x14:formula1>
            <xm:f>Tabelle1!$Q$3:$Q$9</xm:f>
          </x14:formula1>
          <xm:sqref>E15</xm:sqref>
        </x14:dataValidation>
        <x14:dataValidation type="list" allowBlank="1" showInputMessage="1" showErrorMessage="1" xr:uid="{F9733501-4C82-4C89-988D-7FC93E5FC71D}">
          <x14:formula1>
            <xm:f>Tabelle1!$O$3:$O$9</xm:f>
          </x14:formula1>
          <xm:sqref>E13</xm:sqref>
        </x14:dataValidation>
        <x14:dataValidation type="list" allowBlank="1" showInputMessage="1" showErrorMessage="1" xr:uid="{DF4536A3-9D0F-4462-9A7D-C64A4C0F0EBF}">
          <x14:formula1>
            <xm:f>Tabelle1!$M$13:$M$14</xm:f>
          </x14:formula1>
          <xm:sqref>E19</xm:sqref>
        </x14:dataValidation>
        <x14:dataValidation type="list" allowBlank="1" showInputMessage="1" showErrorMessage="1" xr:uid="{43531C96-7941-4D5C-816F-4C1ECF7D15F5}">
          <x14:formula1>
            <xm:f>Tabelle1!$N$13:$N$14</xm:f>
          </x14:formula1>
          <xm:sqref>E16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Schelp Langendyk Matheus DSS TCDTF1</dc:creator>
  <cp:lastModifiedBy>Schelp Langendyk Matheus DSS TCDTF1</cp:lastModifiedBy>
  <dcterms:created xsi:type="dcterms:W3CDTF">2026-03-19T12:37:29Z</dcterms:created>
  <dcterms:modified xsi:type="dcterms:W3CDTF">2026-03-25T06:38:11Z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2026-03-19T13:15:18Z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2bb476b8-365b-4863-8a25-0c56fb791e0a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